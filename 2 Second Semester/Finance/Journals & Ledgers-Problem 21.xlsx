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1"/>
  </bookViews>
  <sheets>
    <sheet name="Journals" sheetId="1" r:id="rId1"/>
    <sheet name="Ledgers" sheetId="2" r:id="rId2"/>
  </sheets>
  <calcPr calcId="124519"/>
</workbook>
</file>

<file path=xl/calcChain.xml><?xml version="1.0" encoding="utf-8"?>
<calcChain xmlns="http://schemas.openxmlformats.org/spreadsheetml/2006/main">
  <c r="N58" i="2"/>
  <c r="N59" s="1"/>
  <c r="L58"/>
  <c r="K58"/>
  <c r="R59"/>
  <c r="E58"/>
  <c r="H58"/>
  <c r="H59" s="1"/>
  <c r="D59"/>
  <c r="R50"/>
  <c r="R51" s="1"/>
  <c r="O50"/>
  <c r="N51"/>
  <c r="D50"/>
  <c r="B50"/>
  <c r="A50"/>
  <c r="H51"/>
  <c r="D51"/>
  <c r="N42"/>
  <c r="L42"/>
  <c r="K42"/>
  <c r="R43"/>
  <c r="N43"/>
  <c r="D42"/>
  <c r="D43" s="1"/>
  <c r="B42"/>
  <c r="A42"/>
  <c r="H43"/>
  <c r="R33"/>
  <c r="R34" s="1"/>
  <c r="O33"/>
  <c r="N34"/>
  <c r="N33"/>
  <c r="N25"/>
  <c r="K25"/>
  <c r="N27"/>
  <c r="R26"/>
  <c r="N26"/>
  <c r="L25"/>
  <c r="N19"/>
  <c r="N18"/>
  <c r="R18"/>
  <c r="N17"/>
  <c r="L17"/>
  <c r="K17"/>
  <c r="R9"/>
  <c r="N8"/>
  <c r="R8"/>
  <c r="R7"/>
  <c r="O7"/>
  <c r="R6"/>
  <c r="O6"/>
  <c r="R5"/>
  <c r="O5"/>
  <c r="R4"/>
  <c r="O4"/>
  <c r="D35"/>
  <c r="D36"/>
  <c r="H35"/>
  <c r="E33"/>
  <c r="H33"/>
  <c r="D33"/>
  <c r="B33"/>
  <c r="A33"/>
  <c r="D27"/>
  <c r="D25"/>
  <c r="B25"/>
  <c r="A25"/>
  <c r="H26"/>
  <c r="D26"/>
  <c r="H18"/>
  <c r="D17"/>
  <c r="D18" s="1"/>
  <c r="B17"/>
  <c r="A17"/>
  <c r="D11"/>
  <c r="H8"/>
  <c r="E8"/>
  <c r="H7"/>
  <c r="E7"/>
  <c r="H6"/>
  <c r="E6"/>
  <c r="D8"/>
  <c r="B8"/>
  <c r="A8"/>
  <c r="D7"/>
  <c r="B7"/>
  <c r="A7"/>
  <c r="D6"/>
  <c r="B6"/>
  <c r="A6"/>
  <c r="H5"/>
  <c r="E5"/>
  <c r="H4"/>
  <c r="E4"/>
  <c r="D5"/>
  <c r="B5"/>
  <c r="A5"/>
  <c r="D4"/>
  <c r="B4"/>
  <c r="A4"/>
  <c r="D10" l="1"/>
  <c r="H10"/>
</calcChain>
</file>

<file path=xl/sharedStrings.xml><?xml version="1.0" encoding="utf-8"?>
<sst xmlns="http://schemas.openxmlformats.org/spreadsheetml/2006/main" count="249" uniqueCount="79">
  <si>
    <t>Problem 21</t>
  </si>
  <si>
    <t>Journal Entries</t>
  </si>
  <si>
    <t>Date</t>
  </si>
  <si>
    <t>Particulars</t>
  </si>
  <si>
    <t>L.F.</t>
  </si>
  <si>
    <t>Debit (Rs)</t>
  </si>
  <si>
    <t>Credit (Rs)</t>
  </si>
  <si>
    <t>Cash a/c  Dr.</t>
  </si>
  <si>
    <t xml:space="preserve">   To  Capital a/c</t>
  </si>
  <si>
    <t>(Being business started with cash)</t>
  </si>
  <si>
    <t>Stock a/c Dr.</t>
  </si>
  <si>
    <t>(Being business started with stocks)</t>
  </si>
  <si>
    <t>Building a/c Dr.</t>
  </si>
  <si>
    <t>(Being business started with building)</t>
  </si>
  <si>
    <t>Furniture a/c Dr.</t>
  </si>
  <si>
    <t>(Being business started with furniture)</t>
  </si>
  <si>
    <t>Laminating Machine a/c Dr.</t>
  </si>
  <si>
    <t>Printing Machine a/c Dr.</t>
  </si>
  <si>
    <t>(Being printing and lamination machine purchased)</t>
  </si>
  <si>
    <t>Cash a/c Dr.</t>
  </si>
  <si>
    <t xml:space="preserve">  To Commission a/c</t>
  </si>
  <si>
    <t>(Being commission received from service)</t>
  </si>
  <si>
    <t>Office Supplies a/c Dr.</t>
  </si>
  <si>
    <t xml:space="preserve">  To Cash a/c</t>
  </si>
  <si>
    <t>(Being office supplies purchased)</t>
  </si>
  <si>
    <t>Rent Expenses a/c Dr.</t>
  </si>
  <si>
    <t>(Being office rent paid)</t>
  </si>
  <si>
    <t xml:space="preserve">  To Gain on sale of Furniture a/c</t>
  </si>
  <si>
    <t>(Being furniture sold on profit)</t>
  </si>
  <si>
    <t>Purchase a/c Dr.</t>
  </si>
  <si>
    <t xml:space="preserve">  To Creditor's a/c</t>
  </si>
  <si>
    <t>(Being good purchased on credit)</t>
  </si>
  <si>
    <t>Sundry Debtor's a/c Dr.</t>
  </si>
  <si>
    <t xml:space="preserve">  To Sales a/c</t>
  </si>
  <si>
    <t>(Being goods sold on credit)</t>
  </si>
  <si>
    <t>Creditor's a/c Dr.</t>
  </si>
  <si>
    <t xml:space="preserve">  To Purchase Return a/c</t>
  </si>
  <si>
    <t>(Being goods return to suupliers)</t>
  </si>
  <si>
    <t>Sales Return a/c Dr.</t>
  </si>
  <si>
    <t xml:space="preserve">  To Sundry Debtor's a/c</t>
  </si>
  <si>
    <t>(Being goods returned by buyer)</t>
  </si>
  <si>
    <t>(Being cash received from debtors)</t>
  </si>
  <si>
    <t>(Being cash paid to suppliers)</t>
  </si>
  <si>
    <t>Cash Account</t>
  </si>
  <si>
    <t>Dr.</t>
  </si>
  <si>
    <t>JF</t>
  </si>
  <si>
    <t>Amount</t>
  </si>
  <si>
    <t>Cr.</t>
  </si>
  <si>
    <t>By Balance c/d</t>
  </si>
  <si>
    <t>To Balance b/d</t>
  </si>
  <si>
    <t>By Office Supplies a/c</t>
  </si>
  <si>
    <t>By Rent Expenses a/c</t>
  </si>
  <si>
    <t>By Creditor's a/c</t>
  </si>
  <si>
    <t>By Printing Machine a/c</t>
  </si>
  <si>
    <t>By Laminating Machine a/c</t>
  </si>
  <si>
    <t>Stock Account</t>
  </si>
  <si>
    <t>By Balance b/d</t>
  </si>
  <si>
    <t>To Balance c/d</t>
  </si>
  <si>
    <t>Building Account</t>
  </si>
  <si>
    <t>Furniture Account</t>
  </si>
  <si>
    <t xml:space="preserve">  To Sale of Furniture a/c</t>
  </si>
  <si>
    <t>By Sale of Furniture a/c</t>
  </si>
  <si>
    <t>Capital Account</t>
  </si>
  <si>
    <t>By Cash a/c</t>
  </si>
  <si>
    <t>By Stock a/c</t>
  </si>
  <si>
    <t>By Building a/c</t>
  </si>
  <si>
    <t>By Furniture a/c</t>
  </si>
  <si>
    <t>By balance b/d</t>
  </si>
  <si>
    <t>Printer Account</t>
  </si>
  <si>
    <t>Laminating Machine Account</t>
  </si>
  <si>
    <t>Commission Account</t>
  </si>
  <si>
    <t>Purchase Account</t>
  </si>
  <si>
    <t>Office Supplies Account</t>
  </si>
  <si>
    <t>Rent Account</t>
  </si>
  <si>
    <t>Purchase Return Account</t>
  </si>
  <si>
    <t>By Creditors a/c</t>
  </si>
  <si>
    <t>Sales Account</t>
  </si>
  <si>
    <t>By Sundry Debtors a/c</t>
  </si>
  <si>
    <t>Sales Return Account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</si>
</sst>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/>
    <xf numFmtId="16" fontId="0" fillId="0" borderId="1" xfId="0" applyNumberFormat="1" applyBorder="1"/>
    <xf numFmtId="0" fontId="0" fillId="0" borderId="5" xfId="0" applyBorder="1"/>
    <xf numFmtId="43" fontId="0" fillId="0" borderId="1" xfId="1" applyFont="1" applyBorder="1"/>
    <xf numFmtId="43" fontId="0" fillId="0" borderId="1" xfId="0" applyNumberFormat="1" applyBorder="1"/>
    <xf numFmtId="16" fontId="0" fillId="0" borderId="2" xfId="0" applyNumberForma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opLeftCell="A53" zoomScale="150" zoomScaleNormal="150" workbookViewId="0">
      <selection activeCell="B64" sqref="B64"/>
    </sheetView>
  </sheetViews>
  <sheetFormatPr defaultRowHeight="15"/>
  <cols>
    <col min="1" max="1" width="14.140625" style="1" bestFit="1" customWidth="1"/>
    <col min="2" max="2" width="47.42578125" bestFit="1" customWidth="1"/>
    <col min="3" max="3" width="4" bestFit="1" customWidth="1"/>
    <col min="4" max="4" width="9.7109375" bestFit="1" customWidth="1"/>
    <col min="5" max="5" width="10.28515625" bestFit="1" customWidth="1"/>
  </cols>
  <sheetData>
    <row r="1" spans="1:5">
      <c r="A1" s="14" t="s">
        <v>0</v>
      </c>
      <c r="B1" s="14"/>
      <c r="C1" s="14"/>
      <c r="D1" s="14"/>
      <c r="E1" s="14"/>
    </row>
    <row r="2" spans="1:5">
      <c r="A2" s="14" t="s">
        <v>1</v>
      </c>
      <c r="B2" s="14"/>
      <c r="C2" s="14"/>
      <c r="D2" s="14"/>
      <c r="E2" s="14"/>
    </row>
    <row r="3" spans="1:5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>
      <c r="A4" s="11">
        <v>1.1000000000000001</v>
      </c>
      <c r="B4" s="4" t="s">
        <v>7</v>
      </c>
      <c r="C4" s="4"/>
      <c r="D4" s="4">
        <v>90000</v>
      </c>
      <c r="E4" s="4"/>
    </row>
    <row r="5" spans="1:5">
      <c r="A5" s="12"/>
      <c r="B5" s="4" t="s">
        <v>8</v>
      </c>
      <c r="C5" s="4"/>
      <c r="D5" s="4"/>
      <c r="E5" s="4">
        <v>90000</v>
      </c>
    </row>
    <row r="6" spans="1:5">
      <c r="A6" s="13"/>
      <c r="B6" s="6" t="s">
        <v>9</v>
      </c>
      <c r="C6" s="6"/>
      <c r="D6" s="4"/>
      <c r="E6" s="4"/>
    </row>
    <row r="7" spans="1:5">
      <c r="A7" s="5"/>
      <c r="B7" s="6"/>
      <c r="C7" s="6"/>
      <c r="D7" s="4"/>
      <c r="E7" s="4"/>
    </row>
    <row r="8" spans="1:5">
      <c r="A8" s="11">
        <v>1.1000000000000001</v>
      </c>
      <c r="B8" s="4" t="s">
        <v>10</v>
      </c>
      <c r="C8" s="4"/>
      <c r="D8" s="4">
        <v>40000</v>
      </c>
      <c r="E8" s="4"/>
    </row>
    <row r="9" spans="1:5">
      <c r="A9" s="12"/>
      <c r="B9" s="4" t="s">
        <v>8</v>
      </c>
      <c r="C9" s="4"/>
      <c r="D9" s="4"/>
      <c r="E9" s="4">
        <v>40000</v>
      </c>
    </row>
    <row r="10" spans="1:5">
      <c r="A10" s="13"/>
      <c r="B10" s="4" t="s">
        <v>11</v>
      </c>
      <c r="C10" s="4"/>
      <c r="D10" s="4"/>
      <c r="E10" s="4"/>
    </row>
    <row r="11" spans="1:5">
      <c r="A11" s="5"/>
      <c r="B11" s="4"/>
      <c r="C11" s="4"/>
      <c r="D11" s="4"/>
      <c r="E11" s="4"/>
    </row>
    <row r="12" spans="1:5">
      <c r="A12" s="11">
        <v>1.1000000000000001</v>
      </c>
      <c r="B12" s="4" t="s">
        <v>12</v>
      </c>
      <c r="C12" s="4"/>
      <c r="D12" s="4">
        <v>100000</v>
      </c>
      <c r="E12" s="4"/>
    </row>
    <row r="13" spans="1:5">
      <c r="A13" s="12"/>
      <c r="B13" s="4" t="s">
        <v>8</v>
      </c>
      <c r="C13" s="4"/>
      <c r="D13" s="4"/>
      <c r="E13" s="4">
        <v>100000</v>
      </c>
    </row>
    <row r="14" spans="1:5">
      <c r="A14" s="13"/>
      <c r="B14" s="4" t="s">
        <v>13</v>
      </c>
      <c r="C14" s="4"/>
      <c r="D14" s="4"/>
      <c r="E14" s="4"/>
    </row>
    <row r="15" spans="1:5">
      <c r="A15" s="5"/>
      <c r="B15" s="4"/>
      <c r="C15" s="4"/>
      <c r="D15" s="4"/>
      <c r="E15" s="4"/>
    </row>
    <row r="16" spans="1:5">
      <c r="A16" s="11">
        <v>1.1000000000000001</v>
      </c>
      <c r="B16" s="4" t="s">
        <v>14</v>
      </c>
      <c r="C16" s="4"/>
      <c r="D16" s="4">
        <v>40000</v>
      </c>
      <c r="E16" s="4"/>
    </row>
    <row r="17" spans="1:5">
      <c r="A17" s="12"/>
      <c r="B17" s="4" t="s">
        <v>8</v>
      </c>
      <c r="C17" s="4"/>
      <c r="D17" s="4"/>
      <c r="E17" s="4">
        <v>40000</v>
      </c>
    </row>
    <row r="18" spans="1:5">
      <c r="A18" s="13"/>
      <c r="B18" s="4" t="s">
        <v>15</v>
      </c>
      <c r="C18" s="4"/>
      <c r="D18" s="4"/>
      <c r="E18" s="4"/>
    </row>
    <row r="19" spans="1:5">
      <c r="A19" s="5"/>
      <c r="B19" s="4"/>
      <c r="C19" s="4"/>
      <c r="D19" s="4"/>
      <c r="E19" s="4"/>
    </row>
    <row r="20" spans="1:5">
      <c r="A20" s="11">
        <v>45660</v>
      </c>
      <c r="B20" s="4" t="s">
        <v>17</v>
      </c>
      <c r="C20" s="4"/>
      <c r="D20" s="4">
        <v>15000</v>
      </c>
      <c r="E20" s="4"/>
    </row>
    <row r="21" spans="1:5">
      <c r="A21" s="12"/>
      <c r="B21" s="4" t="s">
        <v>16</v>
      </c>
      <c r="C21" s="4"/>
      <c r="D21" s="4">
        <v>20000</v>
      </c>
      <c r="E21" s="4"/>
    </row>
    <row r="22" spans="1:5">
      <c r="A22" s="12"/>
      <c r="B22" s="4" t="s">
        <v>23</v>
      </c>
      <c r="C22" s="4"/>
      <c r="D22" s="4"/>
      <c r="E22" s="4">
        <v>35000</v>
      </c>
    </row>
    <row r="23" spans="1:5">
      <c r="A23" s="13"/>
      <c r="B23" s="4" t="s">
        <v>18</v>
      </c>
      <c r="C23" s="4"/>
      <c r="D23" s="4"/>
      <c r="E23" s="4"/>
    </row>
    <row r="24" spans="1:5">
      <c r="A24" s="5"/>
      <c r="B24" s="4"/>
      <c r="C24" s="4"/>
      <c r="D24" s="4"/>
      <c r="E24" s="4"/>
    </row>
    <row r="25" spans="1:5">
      <c r="A25" s="11">
        <v>45662</v>
      </c>
      <c r="B25" s="4" t="s">
        <v>19</v>
      </c>
      <c r="C25" s="4"/>
      <c r="D25" s="4">
        <v>2000</v>
      </c>
      <c r="E25" s="4"/>
    </row>
    <row r="26" spans="1:5">
      <c r="A26" s="12"/>
      <c r="B26" s="4" t="s">
        <v>20</v>
      </c>
      <c r="C26" s="4"/>
      <c r="D26" s="4"/>
      <c r="E26" s="4">
        <v>2000</v>
      </c>
    </row>
    <row r="27" spans="1:5">
      <c r="A27" s="13"/>
      <c r="B27" s="4" t="s">
        <v>21</v>
      </c>
      <c r="C27" s="4"/>
      <c r="D27" s="4"/>
      <c r="E27" s="4"/>
    </row>
    <row r="28" spans="1:5">
      <c r="A28" s="5"/>
      <c r="B28" s="4"/>
      <c r="C28" s="4"/>
      <c r="D28" s="4"/>
      <c r="E28" s="4"/>
    </row>
    <row r="29" spans="1:5">
      <c r="A29" s="11">
        <v>45664</v>
      </c>
      <c r="B29" s="4" t="s">
        <v>22</v>
      </c>
      <c r="C29" s="4"/>
      <c r="D29" s="4">
        <v>2000</v>
      </c>
      <c r="E29" s="4"/>
    </row>
    <row r="30" spans="1:5">
      <c r="A30" s="12"/>
      <c r="B30" s="4" t="s">
        <v>23</v>
      </c>
      <c r="C30" s="4"/>
      <c r="D30" s="4"/>
      <c r="E30" s="4">
        <v>2000</v>
      </c>
    </row>
    <row r="31" spans="1:5">
      <c r="A31" s="13"/>
      <c r="B31" s="4" t="s">
        <v>24</v>
      </c>
      <c r="C31" s="4"/>
      <c r="D31" s="4"/>
      <c r="E31" s="4"/>
    </row>
    <row r="32" spans="1:5">
      <c r="A32" s="5"/>
      <c r="B32" s="4"/>
      <c r="C32" s="4"/>
      <c r="D32" s="4"/>
      <c r="E32" s="4"/>
    </row>
    <row r="33" spans="1:5">
      <c r="A33" s="11">
        <v>45667</v>
      </c>
      <c r="B33" s="4" t="s">
        <v>25</v>
      </c>
      <c r="C33" s="4"/>
      <c r="D33" s="4">
        <v>40000</v>
      </c>
      <c r="E33" s="4"/>
    </row>
    <row r="34" spans="1:5">
      <c r="A34" s="12"/>
      <c r="B34" s="4" t="s">
        <v>23</v>
      </c>
      <c r="C34" s="4"/>
      <c r="D34" s="4"/>
      <c r="E34" s="4">
        <v>40000</v>
      </c>
    </row>
    <row r="35" spans="1:5">
      <c r="A35" s="13"/>
      <c r="B35" s="4" t="s">
        <v>26</v>
      </c>
      <c r="C35" s="4"/>
      <c r="D35" s="4"/>
      <c r="E35" s="4"/>
    </row>
    <row r="36" spans="1:5">
      <c r="A36" s="5"/>
      <c r="B36" s="4"/>
      <c r="C36" s="4"/>
      <c r="D36" s="4"/>
      <c r="E36" s="4"/>
    </row>
    <row r="37" spans="1:5">
      <c r="A37" s="11">
        <v>45670</v>
      </c>
      <c r="B37" s="4" t="s">
        <v>19</v>
      </c>
      <c r="C37" s="4"/>
      <c r="D37" s="4">
        <v>11500</v>
      </c>
      <c r="E37" s="4"/>
    </row>
    <row r="38" spans="1:5">
      <c r="A38" s="12"/>
      <c r="B38" s="4" t="s">
        <v>27</v>
      </c>
      <c r="C38" s="4"/>
      <c r="D38" s="4"/>
      <c r="E38" s="4">
        <v>1500</v>
      </c>
    </row>
    <row r="39" spans="1:5">
      <c r="A39" s="12"/>
      <c r="B39" s="4" t="s">
        <v>60</v>
      </c>
      <c r="C39" s="4"/>
      <c r="D39" s="4"/>
      <c r="E39" s="4">
        <v>10000</v>
      </c>
    </row>
    <row r="40" spans="1:5">
      <c r="A40" s="13"/>
      <c r="B40" s="4" t="s">
        <v>28</v>
      </c>
      <c r="C40" s="4"/>
      <c r="D40" s="4"/>
      <c r="E40" s="4"/>
    </row>
    <row r="41" spans="1:5">
      <c r="A41" s="5"/>
      <c r="B41" s="4"/>
      <c r="C41" s="4"/>
      <c r="D41" s="4"/>
      <c r="E41" s="4"/>
    </row>
    <row r="42" spans="1:5">
      <c r="A42" s="11">
        <v>45675</v>
      </c>
      <c r="B42" s="4" t="s">
        <v>29</v>
      </c>
      <c r="C42" s="4"/>
      <c r="D42" s="4">
        <v>12000</v>
      </c>
      <c r="E42" s="4"/>
    </row>
    <row r="43" spans="1:5">
      <c r="A43" s="12"/>
      <c r="B43" s="4" t="s">
        <v>30</v>
      </c>
      <c r="C43" s="4"/>
      <c r="D43" s="4"/>
      <c r="E43" s="4">
        <v>12000</v>
      </c>
    </row>
    <row r="44" spans="1:5">
      <c r="A44" s="13"/>
      <c r="B44" s="4" t="s">
        <v>31</v>
      </c>
      <c r="C44" s="4"/>
      <c r="D44" s="4"/>
      <c r="E44" s="4"/>
    </row>
    <row r="45" spans="1:5">
      <c r="A45" s="5"/>
      <c r="B45" s="4"/>
      <c r="C45" s="4"/>
      <c r="D45" s="4"/>
      <c r="E45" s="4"/>
    </row>
    <row r="46" spans="1:5">
      <c r="A46" s="11">
        <v>45679</v>
      </c>
      <c r="B46" s="4" t="s">
        <v>32</v>
      </c>
      <c r="C46" s="4"/>
      <c r="D46" s="4">
        <v>5000</v>
      </c>
      <c r="E46" s="4"/>
    </row>
    <row r="47" spans="1:5">
      <c r="A47" s="12"/>
      <c r="B47" s="4" t="s">
        <v>33</v>
      </c>
      <c r="C47" s="4"/>
      <c r="D47" s="4"/>
      <c r="E47" s="4">
        <v>5000</v>
      </c>
    </row>
    <row r="48" spans="1:5">
      <c r="A48" s="13"/>
      <c r="B48" s="4" t="s">
        <v>34</v>
      </c>
      <c r="C48" s="4"/>
      <c r="D48" s="4"/>
      <c r="E48" s="4"/>
    </row>
    <row r="49" spans="1:5">
      <c r="A49" s="5"/>
      <c r="B49" s="4"/>
      <c r="C49" s="4"/>
      <c r="D49" s="4"/>
      <c r="E49" s="4"/>
    </row>
    <row r="50" spans="1:5">
      <c r="A50" s="11">
        <v>45681</v>
      </c>
      <c r="B50" s="4" t="s">
        <v>35</v>
      </c>
      <c r="C50" s="4"/>
      <c r="D50" s="4">
        <v>500</v>
      </c>
      <c r="E50" s="4"/>
    </row>
    <row r="51" spans="1:5">
      <c r="A51" s="12"/>
      <c r="B51" s="4" t="s">
        <v>36</v>
      </c>
      <c r="C51" s="4"/>
      <c r="D51" s="4"/>
      <c r="E51" s="4">
        <v>500</v>
      </c>
    </row>
    <row r="52" spans="1:5">
      <c r="A52" s="13"/>
      <c r="B52" s="4" t="s">
        <v>37</v>
      </c>
      <c r="C52" s="4"/>
      <c r="D52" s="4"/>
      <c r="E52" s="4"/>
    </row>
    <row r="53" spans="1:5">
      <c r="A53" s="5"/>
      <c r="B53" s="4"/>
      <c r="C53" s="4"/>
      <c r="D53" s="4"/>
      <c r="E53" s="4"/>
    </row>
    <row r="54" spans="1:5">
      <c r="A54" s="11">
        <v>45684</v>
      </c>
      <c r="B54" s="4" t="s">
        <v>38</v>
      </c>
      <c r="C54" s="4"/>
      <c r="D54" s="4">
        <v>400</v>
      </c>
      <c r="E54" s="4"/>
    </row>
    <row r="55" spans="1:5">
      <c r="A55" s="12"/>
      <c r="B55" s="4" t="s">
        <v>39</v>
      </c>
      <c r="C55" s="4"/>
      <c r="D55" s="4"/>
      <c r="E55" s="4">
        <v>400</v>
      </c>
    </row>
    <row r="56" spans="1:5">
      <c r="A56" s="13"/>
      <c r="B56" s="4" t="s">
        <v>40</v>
      </c>
      <c r="C56" s="4"/>
      <c r="D56" s="4"/>
      <c r="E56" s="4"/>
    </row>
    <row r="57" spans="1:5">
      <c r="A57" s="5"/>
      <c r="B57" s="4"/>
      <c r="C57" s="4"/>
      <c r="D57" s="4"/>
      <c r="E57" s="4"/>
    </row>
    <row r="58" spans="1:5">
      <c r="A58" s="11">
        <v>45686</v>
      </c>
      <c r="B58" s="4" t="s">
        <v>19</v>
      </c>
      <c r="C58" s="4"/>
      <c r="D58" s="4">
        <v>4400</v>
      </c>
      <c r="E58" s="4"/>
    </row>
    <row r="59" spans="1:5">
      <c r="A59" s="12"/>
      <c r="B59" s="4" t="s">
        <v>39</v>
      </c>
      <c r="C59" s="4"/>
      <c r="D59" s="4"/>
      <c r="E59" s="4">
        <v>4400</v>
      </c>
    </row>
    <row r="60" spans="1:5">
      <c r="A60" s="13"/>
      <c r="B60" s="4" t="s">
        <v>41</v>
      </c>
      <c r="C60" s="4"/>
      <c r="D60" s="4"/>
      <c r="E60" s="4"/>
    </row>
    <row r="61" spans="1:5">
      <c r="A61" s="5"/>
      <c r="B61" s="4"/>
      <c r="C61" s="4"/>
      <c r="D61" s="4"/>
      <c r="E61" s="4"/>
    </row>
    <row r="62" spans="1:5">
      <c r="A62" s="11">
        <v>45687</v>
      </c>
      <c r="B62" s="4" t="s">
        <v>35</v>
      </c>
      <c r="C62" s="4"/>
      <c r="D62" s="4">
        <v>11300</v>
      </c>
      <c r="E62" s="4"/>
    </row>
    <row r="63" spans="1:5">
      <c r="A63" s="12"/>
      <c r="B63" s="4" t="s">
        <v>23</v>
      </c>
      <c r="C63" s="4"/>
      <c r="D63" s="4"/>
      <c r="E63" s="4">
        <v>11300</v>
      </c>
    </row>
    <row r="64" spans="1:5">
      <c r="A64" s="13"/>
      <c r="B64" s="4" t="s">
        <v>42</v>
      </c>
      <c r="C64" s="4"/>
      <c r="D64" s="4"/>
      <c r="E64" s="4"/>
    </row>
  </sheetData>
  <mergeCells count="17">
    <mergeCell ref="A33:A35"/>
    <mergeCell ref="A1:E1"/>
    <mergeCell ref="A2:E2"/>
    <mergeCell ref="A4:A6"/>
    <mergeCell ref="A8:A10"/>
    <mergeCell ref="A12:A14"/>
    <mergeCell ref="A16:A18"/>
    <mergeCell ref="A20:A23"/>
    <mergeCell ref="A25:A27"/>
    <mergeCell ref="A29:A31"/>
    <mergeCell ref="A62:A64"/>
    <mergeCell ref="A37:A40"/>
    <mergeCell ref="A42:A44"/>
    <mergeCell ref="A46:A48"/>
    <mergeCell ref="A50:A52"/>
    <mergeCell ref="A54:A56"/>
    <mergeCell ref="A58:A6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60"/>
  <sheetViews>
    <sheetView tabSelected="1" zoomScale="130" zoomScaleNormal="130" workbookViewId="0">
      <selection activeCell="P33" sqref="P33"/>
    </sheetView>
  </sheetViews>
  <sheetFormatPr defaultRowHeight="15"/>
  <cols>
    <col min="2" max="2" width="34.140625" bestFit="1" customWidth="1"/>
    <col min="4" max="4" width="13" bestFit="1" customWidth="1"/>
    <col min="6" max="6" width="24.85546875" bestFit="1" customWidth="1"/>
    <col min="8" max="8" width="13" bestFit="1" customWidth="1"/>
    <col min="12" max="12" width="34.42578125" bestFit="1" customWidth="1"/>
    <col min="14" max="14" width="13.42578125" bestFit="1" customWidth="1"/>
    <col min="16" max="16" width="17.28515625" bestFit="1" customWidth="1"/>
    <col min="18" max="18" width="13.42578125" bestFit="1" customWidth="1"/>
  </cols>
  <sheetData>
    <row r="1" spans="1:18">
      <c r="A1" s="14" t="s">
        <v>43</v>
      </c>
      <c r="B1" s="14"/>
      <c r="C1" s="14"/>
      <c r="D1" s="14"/>
      <c r="E1" s="14"/>
      <c r="F1" s="14"/>
      <c r="G1" s="14"/>
      <c r="H1" s="14"/>
      <c r="K1" s="14" t="s">
        <v>62</v>
      </c>
      <c r="L1" s="14"/>
      <c r="M1" s="14"/>
      <c r="N1" s="14"/>
      <c r="O1" s="14"/>
      <c r="P1" s="14"/>
      <c r="Q1" s="14"/>
      <c r="R1" s="14"/>
    </row>
    <row r="2" spans="1:18">
      <c r="A2" s="15" t="s">
        <v>44</v>
      </c>
      <c r="B2" s="15"/>
      <c r="C2" s="15"/>
      <c r="D2" s="15"/>
      <c r="E2" s="16" t="s">
        <v>47</v>
      </c>
      <c r="F2" s="16"/>
      <c r="G2" s="16"/>
      <c r="H2" s="16"/>
      <c r="K2" s="15" t="s">
        <v>44</v>
      </c>
      <c r="L2" s="15"/>
      <c r="M2" s="15"/>
      <c r="N2" s="15"/>
      <c r="O2" s="16" t="s">
        <v>47</v>
      </c>
      <c r="P2" s="16"/>
      <c r="Q2" s="16"/>
      <c r="R2" s="16"/>
    </row>
    <row r="3" spans="1:18">
      <c r="A3" s="3" t="s">
        <v>2</v>
      </c>
      <c r="B3" s="3" t="s">
        <v>3</v>
      </c>
      <c r="C3" s="3" t="s">
        <v>45</v>
      </c>
      <c r="D3" s="3" t="s">
        <v>46</v>
      </c>
      <c r="E3" s="3" t="s">
        <v>2</v>
      </c>
      <c r="F3" s="3" t="s">
        <v>3</v>
      </c>
      <c r="G3" s="3" t="s">
        <v>45</v>
      </c>
      <c r="H3" s="3" t="s">
        <v>46</v>
      </c>
      <c r="K3" s="3" t="s">
        <v>2</v>
      </c>
      <c r="L3" s="3" t="s">
        <v>3</v>
      </c>
      <c r="M3" s="3" t="s">
        <v>45</v>
      </c>
      <c r="N3" s="3" t="s">
        <v>46</v>
      </c>
      <c r="O3" s="3" t="s">
        <v>2</v>
      </c>
      <c r="P3" s="3" t="s">
        <v>3</v>
      </c>
      <c r="Q3" s="3" t="s">
        <v>45</v>
      </c>
      <c r="R3" s="3" t="s">
        <v>46</v>
      </c>
    </row>
    <row r="4" spans="1:18">
      <c r="A4" s="7">
        <f>Journals!A4</f>
        <v>1.1000000000000001</v>
      </c>
      <c r="B4" s="4" t="str">
        <f>Journals!B5</f>
        <v xml:space="preserve">   To  Capital a/c</v>
      </c>
      <c r="C4" s="4"/>
      <c r="D4" s="9">
        <f>Journals!D4</f>
        <v>90000</v>
      </c>
      <c r="E4" s="7">
        <f>Journals!A29</f>
        <v>45664</v>
      </c>
      <c r="F4" s="4" t="s">
        <v>50</v>
      </c>
      <c r="G4" s="4"/>
      <c r="H4" s="9">
        <f>Journals!D29</f>
        <v>2000</v>
      </c>
      <c r="K4" s="7">
        <v>45688</v>
      </c>
      <c r="L4" s="4" t="s">
        <v>57</v>
      </c>
      <c r="M4" s="4"/>
      <c r="N4" s="9">
        <v>270000</v>
      </c>
      <c r="O4" s="7">
        <f>Journals!A4</f>
        <v>1.1000000000000001</v>
      </c>
      <c r="P4" s="4" t="s">
        <v>63</v>
      </c>
      <c r="Q4" s="4"/>
      <c r="R4" s="9">
        <f>Journals!D4</f>
        <v>90000</v>
      </c>
    </row>
    <row r="5" spans="1:18">
      <c r="A5" s="7">
        <f>Journals!A25</f>
        <v>45662</v>
      </c>
      <c r="B5" s="4" t="str">
        <f>Journals!B26</f>
        <v xml:space="preserve">  To Commission a/c</v>
      </c>
      <c r="C5" s="4"/>
      <c r="D5" s="9">
        <f>Journals!D25</f>
        <v>2000</v>
      </c>
      <c r="E5" s="7">
        <f>Journals!A33</f>
        <v>45667</v>
      </c>
      <c r="F5" s="4" t="s">
        <v>51</v>
      </c>
      <c r="G5" s="4"/>
      <c r="H5" s="9">
        <f>Journals!D33</f>
        <v>40000</v>
      </c>
      <c r="K5" s="4"/>
      <c r="L5" s="4"/>
      <c r="M5" s="4"/>
      <c r="N5" s="9"/>
      <c r="O5" s="7">
        <f>Journals!A8</f>
        <v>1.1000000000000001</v>
      </c>
      <c r="P5" s="4" t="s">
        <v>64</v>
      </c>
      <c r="Q5" s="4"/>
      <c r="R5" s="9">
        <f>Journals!D8</f>
        <v>40000</v>
      </c>
    </row>
    <row r="6" spans="1:18">
      <c r="A6" s="7">
        <f>Journals!A37</f>
        <v>45670</v>
      </c>
      <c r="B6" s="4" t="str">
        <f>Journals!B38</f>
        <v xml:space="preserve">  To Gain on sale of Furniture a/c</v>
      </c>
      <c r="C6" s="4"/>
      <c r="D6" s="9">
        <f>Journals!E38</f>
        <v>1500</v>
      </c>
      <c r="E6" s="7">
        <f>Journals!A62</f>
        <v>45687</v>
      </c>
      <c r="F6" s="4" t="s">
        <v>52</v>
      </c>
      <c r="G6" s="4"/>
      <c r="H6" s="9">
        <f>Journals!D62</f>
        <v>11300</v>
      </c>
      <c r="K6" s="4"/>
      <c r="L6" s="4"/>
      <c r="M6" s="4"/>
      <c r="N6" s="9"/>
      <c r="O6" s="7">
        <f>Journals!A12</f>
        <v>1.1000000000000001</v>
      </c>
      <c r="P6" s="4" t="s">
        <v>65</v>
      </c>
      <c r="Q6" s="4"/>
      <c r="R6" s="9">
        <f>Journals!D12</f>
        <v>100000</v>
      </c>
    </row>
    <row r="7" spans="1:18">
      <c r="A7" s="7">
        <f>Journals!A37</f>
        <v>45670</v>
      </c>
      <c r="B7" s="4" t="str">
        <f>Journals!B39</f>
        <v xml:space="preserve">  To Sale of Furniture a/c</v>
      </c>
      <c r="C7" s="4"/>
      <c r="D7" s="9">
        <f>Journals!E39</f>
        <v>10000</v>
      </c>
      <c r="E7" s="7">
        <f>Journals!A20</f>
        <v>45660</v>
      </c>
      <c r="F7" s="4" t="s">
        <v>53</v>
      </c>
      <c r="G7" s="4"/>
      <c r="H7" s="9">
        <f>Journals!D20</f>
        <v>15000</v>
      </c>
      <c r="K7" s="4"/>
      <c r="L7" s="4"/>
      <c r="M7" s="4"/>
      <c r="N7" s="9"/>
      <c r="O7" s="7">
        <f>Journals!A16</f>
        <v>1.1000000000000001</v>
      </c>
      <c r="P7" s="4" t="s">
        <v>66</v>
      </c>
      <c r="Q7" s="4"/>
      <c r="R7" s="9">
        <f>Journals!D16</f>
        <v>40000</v>
      </c>
    </row>
    <row r="8" spans="1:18">
      <c r="A8" s="7">
        <f>Journals!A58</f>
        <v>45686</v>
      </c>
      <c r="B8" s="4" t="str">
        <f>Journals!B59</f>
        <v xml:space="preserve">  To Sundry Debtor's a/c</v>
      </c>
      <c r="C8" s="4"/>
      <c r="D8" s="9">
        <f>Journals!D58</f>
        <v>4400</v>
      </c>
      <c r="E8" s="7">
        <f>Journals!A20</f>
        <v>45660</v>
      </c>
      <c r="F8" s="4" t="s">
        <v>54</v>
      </c>
      <c r="G8" s="4"/>
      <c r="H8" s="9">
        <f>Journals!D21</f>
        <v>20000</v>
      </c>
      <c r="K8" s="4"/>
      <c r="L8" s="4"/>
      <c r="M8" s="4"/>
      <c r="N8" s="9">
        <f>SUM(N4:N7)</f>
        <v>270000</v>
      </c>
      <c r="O8" s="4"/>
      <c r="P8" s="4"/>
      <c r="Q8" s="4"/>
      <c r="R8" s="9">
        <f>SUM(R4:R7)</f>
        <v>270000</v>
      </c>
    </row>
    <row r="9" spans="1:18">
      <c r="A9" s="4"/>
      <c r="B9" s="4"/>
      <c r="C9" s="4"/>
      <c r="D9" s="9"/>
      <c r="E9" s="7">
        <v>45688</v>
      </c>
      <c r="F9" s="4" t="s">
        <v>48</v>
      </c>
      <c r="G9" s="4"/>
      <c r="H9" s="9">
        <v>19600</v>
      </c>
      <c r="K9" s="4"/>
      <c r="L9" s="4"/>
      <c r="M9" s="4"/>
      <c r="N9" s="4"/>
      <c r="O9" s="7">
        <v>45689</v>
      </c>
      <c r="P9" s="4" t="s">
        <v>67</v>
      </c>
      <c r="Q9" s="4"/>
      <c r="R9" s="9">
        <f>N8</f>
        <v>270000</v>
      </c>
    </row>
    <row r="10" spans="1:18">
      <c r="A10" s="4"/>
      <c r="B10" s="4"/>
      <c r="C10" s="4"/>
      <c r="D10" s="9">
        <f>SUM(D4:D9)</f>
        <v>107900</v>
      </c>
      <c r="E10" s="4"/>
      <c r="F10" s="4"/>
      <c r="G10" s="4"/>
      <c r="H10" s="9">
        <f>SUM(H4:H9)</f>
        <v>107900</v>
      </c>
    </row>
    <row r="11" spans="1:18">
      <c r="A11" s="7">
        <v>45689</v>
      </c>
      <c r="B11" s="4" t="s">
        <v>49</v>
      </c>
      <c r="C11" s="4"/>
      <c r="D11" s="9">
        <f>H9</f>
        <v>19600</v>
      </c>
      <c r="E11" s="4"/>
      <c r="F11" s="4"/>
      <c r="G11" s="4"/>
      <c r="H11" s="9"/>
    </row>
    <row r="14" spans="1:18">
      <c r="A14" s="14" t="s">
        <v>55</v>
      </c>
      <c r="B14" s="14"/>
      <c r="C14" s="14"/>
      <c r="D14" s="14"/>
      <c r="E14" s="14"/>
      <c r="F14" s="14"/>
      <c r="G14" s="14"/>
      <c r="H14" s="14"/>
      <c r="K14" s="14" t="s">
        <v>68</v>
      </c>
      <c r="L14" s="14"/>
      <c r="M14" s="14"/>
      <c r="N14" s="14"/>
      <c r="O14" s="14"/>
      <c r="P14" s="14"/>
      <c r="Q14" s="14"/>
      <c r="R14" s="14"/>
    </row>
    <row r="15" spans="1:18">
      <c r="A15" s="15" t="s">
        <v>44</v>
      </c>
      <c r="B15" s="15"/>
      <c r="C15" s="15"/>
      <c r="D15" s="15"/>
      <c r="E15" s="16" t="s">
        <v>47</v>
      </c>
      <c r="F15" s="16"/>
      <c r="G15" s="16"/>
      <c r="H15" s="16"/>
      <c r="K15" s="15" t="s">
        <v>44</v>
      </c>
      <c r="L15" s="15"/>
      <c r="M15" s="15"/>
      <c r="N15" s="15"/>
      <c r="O15" s="16" t="s">
        <v>47</v>
      </c>
      <c r="P15" s="16"/>
      <c r="Q15" s="16"/>
      <c r="R15" s="16"/>
    </row>
    <row r="16" spans="1:18">
      <c r="A16" s="3" t="s">
        <v>2</v>
      </c>
      <c r="B16" s="3" t="s">
        <v>3</v>
      </c>
      <c r="C16" s="3" t="s">
        <v>45</v>
      </c>
      <c r="D16" s="3" t="s">
        <v>46</v>
      </c>
      <c r="E16" s="3" t="s">
        <v>2</v>
      </c>
      <c r="F16" s="3" t="s">
        <v>3</v>
      </c>
      <c r="G16" s="3" t="s">
        <v>45</v>
      </c>
      <c r="H16" s="3" t="s">
        <v>46</v>
      </c>
      <c r="K16" s="3" t="s">
        <v>2</v>
      </c>
      <c r="L16" s="3" t="s">
        <v>3</v>
      </c>
      <c r="M16" s="3" t="s">
        <v>45</v>
      </c>
      <c r="N16" s="3" t="s">
        <v>46</v>
      </c>
      <c r="O16" s="3" t="s">
        <v>2</v>
      </c>
      <c r="P16" s="3" t="s">
        <v>3</v>
      </c>
      <c r="Q16" s="3" t="s">
        <v>45</v>
      </c>
      <c r="R16" s="3" t="s">
        <v>46</v>
      </c>
    </row>
    <row r="17" spans="1:18">
      <c r="A17" s="7">
        <f>Journals!A8</f>
        <v>1.1000000000000001</v>
      </c>
      <c r="B17" s="4" t="str">
        <f>Journals!B9</f>
        <v xml:space="preserve">   To  Capital a/c</v>
      </c>
      <c r="C17" s="4"/>
      <c r="D17" s="9">
        <f>Journals!D8</f>
        <v>40000</v>
      </c>
      <c r="E17" s="7">
        <v>45688</v>
      </c>
      <c r="F17" s="4" t="s">
        <v>48</v>
      </c>
      <c r="G17" s="4"/>
      <c r="H17" s="9">
        <v>40000</v>
      </c>
      <c r="K17" s="7">
        <f>Journals!A20</f>
        <v>45660</v>
      </c>
      <c r="L17" s="4" t="str">
        <f>Journals!B22</f>
        <v xml:space="preserve">  To Cash a/c</v>
      </c>
      <c r="M17" s="4"/>
      <c r="N17" s="9">
        <f>Journals!D20</f>
        <v>15000</v>
      </c>
      <c r="O17" s="7">
        <v>45688</v>
      </c>
      <c r="P17" s="4" t="s">
        <v>48</v>
      </c>
      <c r="Q17" s="4"/>
      <c r="R17" s="9">
        <v>15000</v>
      </c>
    </row>
    <row r="18" spans="1:18">
      <c r="A18" s="4"/>
      <c r="B18" s="4"/>
      <c r="C18" s="4"/>
      <c r="D18" s="9">
        <f>SUM(D17)</f>
        <v>40000</v>
      </c>
      <c r="E18" s="4"/>
      <c r="F18" s="4"/>
      <c r="G18" s="4"/>
      <c r="H18" s="9">
        <f>SUM(H17)</f>
        <v>40000</v>
      </c>
      <c r="K18" s="4"/>
      <c r="L18" s="4"/>
      <c r="M18" s="4"/>
      <c r="N18" s="9">
        <f>SUM(N17)</f>
        <v>15000</v>
      </c>
      <c r="O18" s="4"/>
      <c r="P18" s="4"/>
      <c r="Q18" s="4"/>
      <c r="R18" s="9">
        <f>SUM(R17)</f>
        <v>15000</v>
      </c>
    </row>
    <row r="19" spans="1:18">
      <c r="A19" s="7">
        <v>45689</v>
      </c>
      <c r="B19" s="4" t="s">
        <v>49</v>
      </c>
      <c r="C19" s="4"/>
      <c r="D19" s="9">
        <v>40000</v>
      </c>
      <c r="E19" s="4"/>
      <c r="F19" s="4"/>
      <c r="G19" s="4"/>
      <c r="H19" s="4"/>
      <c r="K19" s="7">
        <v>45689</v>
      </c>
      <c r="L19" s="4" t="s">
        <v>57</v>
      </c>
      <c r="M19" s="4"/>
      <c r="N19" s="9">
        <f>R17</f>
        <v>15000</v>
      </c>
      <c r="O19" s="4"/>
      <c r="P19" s="4"/>
      <c r="Q19" s="4"/>
      <c r="R19" s="9"/>
    </row>
    <row r="22" spans="1:18">
      <c r="A22" s="14" t="s">
        <v>58</v>
      </c>
      <c r="B22" s="14"/>
      <c r="C22" s="14"/>
      <c r="D22" s="14"/>
      <c r="E22" s="14"/>
      <c r="F22" s="14"/>
      <c r="G22" s="14"/>
      <c r="H22" s="14"/>
      <c r="K22" s="14" t="s">
        <v>69</v>
      </c>
      <c r="L22" s="14"/>
      <c r="M22" s="14"/>
      <c r="N22" s="14"/>
      <c r="O22" s="14"/>
      <c r="P22" s="14"/>
      <c r="Q22" s="14"/>
      <c r="R22" s="14"/>
    </row>
    <row r="23" spans="1:18">
      <c r="A23" s="15" t="s">
        <v>44</v>
      </c>
      <c r="B23" s="15"/>
      <c r="C23" s="15"/>
      <c r="D23" s="15"/>
      <c r="E23" s="16" t="s">
        <v>47</v>
      </c>
      <c r="F23" s="16"/>
      <c r="G23" s="16"/>
      <c r="H23" s="16"/>
      <c r="K23" s="15" t="s">
        <v>44</v>
      </c>
      <c r="L23" s="15"/>
      <c r="M23" s="15"/>
      <c r="N23" s="15"/>
      <c r="O23" s="16" t="s">
        <v>47</v>
      </c>
      <c r="P23" s="16"/>
      <c r="Q23" s="16"/>
      <c r="R23" s="16"/>
    </row>
    <row r="24" spans="1:18">
      <c r="A24" s="3" t="s">
        <v>2</v>
      </c>
      <c r="B24" s="3" t="s">
        <v>3</v>
      </c>
      <c r="C24" s="3" t="s">
        <v>45</v>
      </c>
      <c r="D24" s="3" t="s">
        <v>46</v>
      </c>
      <c r="E24" s="3" t="s">
        <v>2</v>
      </c>
      <c r="F24" s="3" t="s">
        <v>3</v>
      </c>
      <c r="G24" s="3" t="s">
        <v>45</v>
      </c>
      <c r="H24" s="3" t="s">
        <v>46</v>
      </c>
      <c r="K24" s="3" t="s">
        <v>2</v>
      </c>
      <c r="L24" s="3" t="s">
        <v>3</v>
      </c>
      <c r="M24" s="3" t="s">
        <v>45</v>
      </c>
      <c r="N24" s="3" t="s">
        <v>46</v>
      </c>
      <c r="O24" s="3" t="s">
        <v>2</v>
      </c>
      <c r="P24" s="3" t="s">
        <v>3</v>
      </c>
      <c r="Q24" s="3" t="s">
        <v>45</v>
      </c>
      <c r="R24" s="3" t="s">
        <v>46</v>
      </c>
    </row>
    <row r="25" spans="1:18">
      <c r="A25" s="7">
        <f>Journals!A12</f>
        <v>1.1000000000000001</v>
      </c>
      <c r="B25" s="4" t="str">
        <f>Journals!B13</f>
        <v xml:space="preserve">   To  Capital a/c</v>
      </c>
      <c r="C25" s="4"/>
      <c r="D25" s="9">
        <f>Journals!D12</f>
        <v>100000</v>
      </c>
      <c r="E25" s="7">
        <v>45688</v>
      </c>
      <c r="F25" s="4" t="s">
        <v>48</v>
      </c>
      <c r="G25" s="4"/>
      <c r="H25" s="9">
        <v>100000</v>
      </c>
      <c r="K25" s="7">
        <f>Journals!A20</f>
        <v>45660</v>
      </c>
      <c r="L25" s="4" t="str">
        <f>Journals!B30</f>
        <v xml:space="preserve">  To Cash a/c</v>
      </c>
      <c r="M25" s="4"/>
      <c r="N25" s="9">
        <f>Journals!D21</f>
        <v>20000</v>
      </c>
      <c r="O25" s="7">
        <v>45688</v>
      </c>
      <c r="P25" s="4" t="s">
        <v>48</v>
      </c>
      <c r="Q25" s="4"/>
      <c r="R25" s="9">
        <v>20000</v>
      </c>
    </row>
    <row r="26" spans="1:18">
      <c r="A26" s="4"/>
      <c r="B26" s="4"/>
      <c r="C26" s="4"/>
      <c r="D26" s="9">
        <f>SUM(D25)</f>
        <v>100000</v>
      </c>
      <c r="E26" s="4"/>
      <c r="F26" s="4"/>
      <c r="G26" s="4"/>
      <c r="H26" s="9">
        <f>SUM(H25)</f>
        <v>100000</v>
      </c>
      <c r="K26" s="4"/>
      <c r="L26" s="4"/>
      <c r="M26" s="4"/>
      <c r="N26" s="9">
        <f>SUM(N25)</f>
        <v>20000</v>
      </c>
      <c r="O26" s="4"/>
      <c r="P26" s="4"/>
      <c r="Q26" s="4"/>
      <c r="R26" s="9">
        <f>SUM(R25)</f>
        <v>20000</v>
      </c>
    </row>
    <row r="27" spans="1:18">
      <c r="A27" s="7">
        <v>45689</v>
      </c>
      <c r="B27" s="4" t="s">
        <v>49</v>
      </c>
      <c r="C27" s="4"/>
      <c r="D27" s="9">
        <f>H25</f>
        <v>100000</v>
      </c>
      <c r="E27" s="4"/>
      <c r="F27" s="4"/>
      <c r="G27" s="4"/>
      <c r="H27" s="9"/>
      <c r="K27" s="7">
        <v>45689</v>
      </c>
      <c r="L27" s="4" t="s">
        <v>57</v>
      </c>
      <c r="M27" s="4"/>
      <c r="N27" s="9">
        <f>R25</f>
        <v>20000</v>
      </c>
      <c r="O27" s="4"/>
      <c r="P27" s="4"/>
      <c r="Q27" s="4"/>
      <c r="R27" s="9"/>
    </row>
    <row r="30" spans="1:18">
      <c r="A30" s="14" t="s">
        <v>59</v>
      </c>
      <c r="B30" s="14"/>
      <c r="C30" s="14"/>
      <c r="D30" s="14"/>
      <c r="E30" s="14"/>
      <c r="F30" s="14"/>
      <c r="G30" s="14"/>
      <c r="H30" s="14"/>
      <c r="K30" s="14" t="s">
        <v>70</v>
      </c>
      <c r="L30" s="14"/>
      <c r="M30" s="14"/>
      <c r="N30" s="14"/>
      <c r="O30" s="14"/>
      <c r="P30" s="14"/>
      <c r="Q30" s="14"/>
      <c r="R30" s="14"/>
    </row>
    <row r="31" spans="1:18">
      <c r="A31" s="15" t="s">
        <v>44</v>
      </c>
      <c r="B31" s="15"/>
      <c r="C31" s="15"/>
      <c r="D31" s="15"/>
      <c r="E31" s="16" t="s">
        <v>47</v>
      </c>
      <c r="F31" s="16"/>
      <c r="G31" s="16"/>
      <c r="H31" s="16"/>
      <c r="K31" s="15" t="s">
        <v>44</v>
      </c>
      <c r="L31" s="15"/>
      <c r="M31" s="15"/>
      <c r="N31" s="15"/>
      <c r="O31" s="16" t="s">
        <v>47</v>
      </c>
      <c r="P31" s="16"/>
      <c r="Q31" s="16"/>
      <c r="R31" s="16"/>
    </row>
    <row r="32" spans="1:18">
      <c r="A32" s="3" t="s">
        <v>2</v>
      </c>
      <c r="B32" s="3" t="s">
        <v>3</v>
      </c>
      <c r="C32" s="3" t="s">
        <v>45</v>
      </c>
      <c r="D32" s="3" t="s">
        <v>46</v>
      </c>
      <c r="E32" s="3" t="s">
        <v>2</v>
      </c>
      <c r="F32" s="3" t="s">
        <v>3</v>
      </c>
      <c r="G32" s="3" t="s">
        <v>45</v>
      </c>
      <c r="H32" s="3" t="s">
        <v>46</v>
      </c>
      <c r="K32" s="3" t="s">
        <v>2</v>
      </c>
      <c r="L32" s="3" t="s">
        <v>3</v>
      </c>
      <c r="M32" s="3" t="s">
        <v>45</v>
      </c>
      <c r="N32" s="3" t="s">
        <v>46</v>
      </c>
      <c r="O32" s="3" t="s">
        <v>2</v>
      </c>
      <c r="P32" s="3" t="s">
        <v>3</v>
      </c>
      <c r="Q32" s="3" t="s">
        <v>45</v>
      </c>
      <c r="R32" s="3" t="s">
        <v>46</v>
      </c>
    </row>
    <row r="33" spans="1:18">
      <c r="A33" s="7">
        <f>Journals!A16</f>
        <v>1.1000000000000001</v>
      </c>
      <c r="B33" s="4" t="str">
        <f>Journals!B17</f>
        <v xml:space="preserve">   To  Capital a/c</v>
      </c>
      <c r="C33" s="8"/>
      <c r="D33" s="9">
        <f>Journals!D16</f>
        <v>40000</v>
      </c>
      <c r="E33" s="7">
        <f>Journals!A37</f>
        <v>45670</v>
      </c>
      <c r="F33" s="4" t="s">
        <v>61</v>
      </c>
      <c r="G33" s="4"/>
      <c r="H33" s="9">
        <f>Journals!E39</f>
        <v>10000</v>
      </c>
      <c r="K33" s="7">
        <v>45688</v>
      </c>
      <c r="L33" s="4" t="s">
        <v>57</v>
      </c>
      <c r="M33" s="4"/>
      <c r="N33" s="9">
        <f>Journals!D29</f>
        <v>2000</v>
      </c>
      <c r="O33" s="7">
        <f>Journals!A25</f>
        <v>45662</v>
      </c>
      <c r="P33" s="4" t="s">
        <v>63</v>
      </c>
      <c r="Q33" s="4"/>
      <c r="R33" s="9">
        <f>Journals!D25</f>
        <v>2000</v>
      </c>
    </row>
    <row r="34" spans="1:18">
      <c r="A34" s="4"/>
      <c r="B34" s="4"/>
      <c r="C34" s="8"/>
      <c r="D34" s="9"/>
      <c r="E34" s="7">
        <v>45688</v>
      </c>
      <c r="F34" s="4" t="s">
        <v>48</v>
      </c>
      <c r="G34" s="4"/>
      <c r="H34" s="9">
        <v>30000</v>
      </c>
      <c r="K34" s="4"/>
      <c r="L34" s="4"/>
      <c r="M34" s="4"/>
      <c r="N34" s="9">
        <f>SUM(N33)</f>
        <v>2000</v>
      </c>
      <c r="O34" s="4"/>
      <c r="P34" s="4"/>
      <c r="Q34" s="4"/>
      <c r="R34" s="9">
        <f>SUM(R33)</f>
        <v>2000</v>
      </c>
    </row>
    <row r="35" spans="1:18">
      <c r="D35" s="10">
        <f>SUM(D33:D34)</f>
        <v>40000</v>
      </c>
      <c r="E35" s="4"/>
      <c r="F35" s="4"/>
      <c r="G35" s="4"/>
      <c r="H35" s="9">
        <f>SUM(H33:H34)</f>
        <v>40000</v>
      </c>
      <c r="K35" s="7"/>
      <c r="L35" s="4"/>
      <c r="M35" s="4"/>
      <c r="N35" s="9"/>
      <c r="O35" s="7">
        <v>45689</v>
      </c>
      <c r="P35" s="4" t="s">
        <v>56</v>
      </c>
      <c r="Q35" s="4"/>
      <c r="R35" s="9">
        <v>2000</v>
      </c>
    </row>
    <row r="36" spans="1:18">
      <c r="A36" s="7">
        <v>45689</v>
      </c>
      <c r="B36" s="4" t="s">
        <v>49</v>
      </c>
      <c r="C36" s="8"/>
      <c r="D36" s="9">
        <f>H34</f>
        <v>30000</v>
      </c>
      <c r="E36" s="4"/>
      <c r="F36" s="4"/>
      <c r="G36" s="4"/>
      <c r="H36" s="4"/>
    </row>
    <row r="39" spans="1:18">
      <c r="A39" s="14" t="s">
        <v>71</v>
      </c>
      <c r="B39" s="14"/>
      <c r="C39" s="14"/>
      <c r="D39" s="14"/>
      <c r="E39" s="14"/>
      <c r="F39" s="14"/>
      <c r="G39" s="14"/>
      <c r="H39" s="14"/>
      <c r="K39" s="14" t="s">
        <v>72</v>
      </c>
      <c r="L39" s="14"/>
      <c r="M39" s="14"/>
      <c r="N39" s="14"/>
      <c r="O39" s="14"/>
      <c r="P39" s="14"/>
      <c r="Q39" s="14"/>
      <c r="R39" s="14"/>
    </row>
    <row r="40" spans="1:18">
      <c r="A40" s="15" t="s">
        <v>44</v>
      </c>
      <c r="B40" s="15"/>
      <c r="C40" s="15"/>
      <c r="D40" s="15"/>
      <c r="E40" s="16" t="s">
        <v>47</v>
      </c>
      <c r="F40" s="16"/>
      <c r="G40" s="16"/>
      <c r="H40" s="16"/>
      <c r="K40" s="15" t="s">
        <v>44</v>
      </c>
      <c r="L40" s="15"/>
      <c r="M40" s="15"/>
      <c r="N40" s="15"/>
      <c r="O40" s="16" t="s">
        <v>47</v>
      </c>
      <c r="P40" s="16"/>
      <c r="Q40" s="16"/>
      <c r="R40" s="16"/>
    </row>
    <row r="41" spans="1:18">
      <c r="A41" s="3" t="s">
        <v>2</v>
      </c>
      <c r="B41" s="3" t="s">
        <v>3</v>
      </c>
      <c r="C41" s="3" t="s">
        <v>45</v>
      </c>
      <c r="D41" s="3" t="s">
        <v>46</v>
      </c>
      <c r="E41" s="3" t="s">
        <v>2</v>
      </c>
      <c r="F41" s="3" t="s">
        <v>3</v>
      </c>
      <c r="G41" s="3" t="s">
        <v>45</v>
      </c>
      <c r="H41" s="3" t="s">
        <v>46</v>
      </c>
      <c r="K41" s="3" t="s">
        <v>2</v>
      </c>
      <c r="L41" s="3" t="s">
        <v>3</v>
      </c>
      <c r="M41" s="3" t="s">
        <v>45</v>
      </c>
      <c r="N41" s="3" t="s">
        <v>46</v>
      </c>
      <c r="O41" s="3" t="s">
        <v>2</v>
      </c>
      <c r="P41" s="3" t="s">
        <v>3</v>
      </c>
      <c r="Q41" s="3" t="s">
        <v>45</v>
      </c>
      <c r="R41" s="3" t="s">
        <v>46</v>
      </c>
    </row>
    <row r="42" spans="1:18">
      <c r="A42" s="7">
        <f>Journals!A42</f>
        <v>45675</v>
      </c>
      <c r="B42" s="4" t="str">
        <f>Journals!B43</f>
        <v xml:space="preserve">  To Creditor's a/c</v>
      </c>
      <c r="C42" s="4"/>
      <c r="D42" s="9">
        <f>Journals!D42</f>
        <v>12000</v>
      </c>
      <c r="E42" s="7">
        <v>45688</v>
      </c>
      <c r="F42" s="4" t="s">
        <v>48</v>
      </c>
      <c r="G42" s="4"/>
      <c r="H42" s="9">
        <v>12000</v>
      </c>
      <c r="K42" s="7">
        <f>Journals!A29</f>
        <v>45664</v>
      </c>
      <c r="L42" s="4" t="str">
        <f>Journals!B30</f>
        <v xml:space="preserve">  To Cash a/c</v>
      </c>
      <c r="M42" s="4"/>
      <c r="N42" s="9">
        <f>Journals!D29</f>
        <v>2000</v>
      </c>
      <c r="O42" s="7">
        <v>45688</v>
      </c>
      <c r="P42" s="4" t="s">
        <v>48</v>
      </c>
      <c r="Q42" s="4"/>
      <c r="R42" s="9">
        <v>2000</v>
      </c>
    </row>
    <row r="43" spans="1:18">
      <c r="A43" s="4"/>
      <c r="B43" s="4"/>
      <c r="C43" s="4"/>
      <c r="D43" s="9">
        <f>SUM(D42)</f>
        <v>12000</v>
      </c>
      <c r="E43" s="4"/>
      <c r="F43" s="4"/>
      <c r="G43" s="4"/>
      <c r="H43" s="9">
        <f>SUM(H42)</f>
        <v>12000</v>
      </c>
      <c r="K43" s="4"/>
      <c r="L43" s="4"/>
      <c r="M43" s="4"/>
      <c r="N43" s="9">
        <f>SUM(N42)</f>
        <v>2000</v>
      </c>
      <c r="O43" s="4"/>
      <c r="P43" s="4"/>
      <c r="Q43" s="4"/>
      <c r="R43" s="9">
        <f>SUM(R42)</f>
        <v>2000</v>
      </c>
    </row>
    <row r="44" spans="1:18">
      <c r="A44" s="7">
        <v>45689</v>
      </c>
      <c r="B44" s="4" t="s">
        <v>49</v>
      </c>
      <c r="C44" s="4"/>
      <c r="D44" s="9">
        <v>12000</v>
      </c>
      <c r="E44" s="7"/>
      <c r="F44" s="4"/>
      <c r="G44" s="4"/>
      <c r="H44" s="9"/>
      <c r="K44" s="7">
        <v>45689</v>
      </c>
      <c r="L44" s="4" t="s">
        <v>49</v>
      </c>
      <c r="M44" s="4"/>
      <c r="N44" s="9">
        <v>2000</v>
      </c>
      <c r="O44" s="7"/>
      <c r="P44" s="4"/>
      <c r="Q44" s="4"/>
      <c r="R44" s="9"/>
    </row>
    <row r="47" spans="1:18">
      <c r="A47" s="14" t="s">
        <v>73</v>
      </c>
      <c r="B47" s="14"/>
      <c r="C47" s="14"/>
      <c r="D47" s="14"/>
      <c r="E47" s="14"/>
      <c r="F47" s="14"/>
      <c r="G47" s="14"/>
      <c r="H47" s="14"/>
      <c r="K47" s="14" t="s">
        <v>74</v>
      </c>
      <c r="L47" s="14"/>
      <c r="M47" s="14"/>
      <c r="N47" s="14"/>
      <c r="O47" s="14"/>
      <c r="P47" s="14"/>
      <c r="Q47" s="14"/>
      <c r="R47" s="14"/>
    </row>
    <row r="48" spans="1:18">
      <c r="A48" s="15" t="s">
        <v>44</v>
      </c>
      <c r="B48" s="15"/>
      <c r="C48" s="15"/>
      <c r="D48" s="15"/>
      <c r="E48" s="16" t="s">
        <v>47</v>
      </c>
      <c r="F48" s="16"/>
      <c r="G48" s="16"/>
      <c r="H48" s="16"/>
      <c r="K48" s="15" t="s">
        <v>44</v>
      </c>
      <c r="L48" s="15"/>
      <c r="M48" s="15"/>
      <c r="N48" s="15"/>
      <c r="O48" s="16" t="s">
        <v>47</v>
      </c>
      <c r="P48" s="16"/>
      <c r="Q48" s="16"/>
      <c r="R48" s="16"/>
    </row>
    <row r="49" spans="1:18">
      <c r="A49" s="3" t="s">
        <v>2</v>
      </c>
      <c r="B49" s="3" t="s">
        <v>3</v>
      </c>
      <c r="C49" s="3" t="s">
        <v>45</v>
      </c>
      <c r="D49" s="3" t="s">
        <v>46</v>
      </c>
      <c r="E49" s="3" t="s">
        <v>2</v>
      </c>
      <c r="F49" s="3" t="s">
        <v>3</v>
      </c>
      <c r="G49" s="3" t="s">
        <v>45</v>
      </c>
      <c r="H49" s="3" t="s">
        <v>46</v>
      </c>
      <c r="K49" s="3" t="s">
        <v>2</v>
      </c>
      <c r="L49" s="3" t="s">
        <v>3</v>
      </c>
      <c r="M49" s="3" t="s">
        <v>45</v>
      </c>
      <c r="N49" s="3" t="s">
        <v>46</v>
      </c>
      <c r="O49" s="3" t="s">
        <v>2</v>
      </c>
      <c r="P49" s="3" t="s">
        <v>3</v>
      </c>
      <c r="Q49" s="3" t="s">
        <v>45</v>
      </c>
      <c r="R49" s="3" t="s">
        <v>46</v>
      </c>
    </row>
    <row r="50" spans="1:18">
      <c r="A50" s="7">
        <f>Journals!A33</f>
        <v>45667</v>
      </c>
      <c r="B50" s="4" t="str">
        <f>Journals!B34</f>
        <v xml:space="preserve">  To Cash a/c</v>
      </c>
      <c r="C50" s="4"/>
      <c r="D50" s="9">
        <f>Journals!D33</f>
        <v>40000</v>
      </c>
      <c r="E50" s="7">
        <v>45688</v>
      </c>
      <c r="F50" s="4" t="s">
        <v>48</v>
      </c>
      <c r="G50" s="4"/>
      <c r="H50" s="9">
        <v>40000</v>
      </c>
      <c r="K50" s="7">
        <v>45688</v>
      </c>
      <c r="L50" s="4" t="s">
        <v>57</v>
      </c>
      <c r="M50" s="4"/>
      <c r="N50" s="9">
        <v>500</v>
      </c>
      <c r="O50" s="7">
        <f>Journals!A50</f>
        <v>45681</v>
      </c>
      <c r="P50" s="4" t="s">
        <v>75</v>
      </c>
      <c r="Q50" s="4"/>
      <c r="R50" s="9">
        <f>Journals!D50</f>
        <v>500</v>
      </c>
    </row>
    <row r="51" spans="1:18">
      <c r="A51" s="4"/>
      <c r="B51" s="4"/>
      <c r="C51" s="4"/>
      <c r="D51" s="9">
        <f>SUM(D50)</f>
        <v>40000</v>
      </c>
      <c r="E51" s="4"/>
      <c r="F51" s="4"/>
      <c r="G51" s="4"/>
      <c r="H51" s="9">
        <f>SUM(H50)</f>
        <v>40000</v>
      </c>
      <c r="K51" s="4"/>
      <c r="L51" s="4"/>
      <c r="M51" s="4"/>
      <c r="N51" s="9">
        <f>SUM(N50)</f>
        <v>500</v>
      </c>
      <c r="O51" s="4"/>
      <c r="P51" s="4"/>
      <c r="Q51" s="4"/>
      <c r="R51" s="9">
        <f>SUM(R50)</f>
        <v>500</v>
      </c>
    </row>
    <row r="52" spans="1:18">
      <c r="A52" s="7">
        <v>45689</v>
      </c>
      <c r="B52" s="4" t="s">
        <v>49</v>
      </c>
      <c r="C52" s="4"/>
      <c r="D52" s="9">
        <v>40000</v>
      </c>
      <c r="E52" s="7"/>
      <c r="F52" s="4"/>
      <c r="G52" s="4"/>
      <c r="H52" s="9"/>
      <c r="K52" s="7"/>
      <c r="L52" s="4"/>
      <c r="M52" s="4"/>
      <c r="N52" s="9"/>
      <c r="O52" s="7">
        <v>45689</v>
      </c>
      <c r="P52" s="4" t="s">
        <v>56</v>
      </c>
      <c r="Q52" s="4"/>
      <c r="R52" s="9">
        <v>500</v>
      </c>
    </row>
    <row r="55" spans="1:18">
      <c r="A55" s="14" t="s">
        <v>76</v>
      </c>
      <c r="B55" s="14"/>
      <c r="C55" s="14"/>
      <c r="D55" s="14"/>
      <c r="E55" s="14"/>
      <c r="F55" s="14"/>
      <c r="G55" s="14"/>
      <c r="H55" s="14"/>
      <c r="K55" s="14" t="s">
        <v>78</v>
      </c>
      <c r="L55" s="14"/>
      <c r="M55" s="14"/>
      <c r="N55" s="14"/>
      <c r="O55" s="14"/>
      <c r="P55" s="14"/>
      <c r="Q55" s="14"/>
      <c r="R55" s="14"/>
    </row>
    <row r="56" spans="1:18">
      <c r="A56" s="15" t="s">
        <v>44</v>
      </c>
      <c r="B56" s="15"/>
      <c r="C56" s="15"/>
      <c r="D56" s="15"/>
      <c r="E56" s="16" t="s">
        <v>47</v>
      </c>
      <c r="F56" s="16"/>
      <c r="G56" s="16"/>
      <c r="H56" s="16"/>
      <c r="K56" s="15" t="s">
        <v>44</v>
      </c>
      <c r="L56" s="15"/>
      <c r="M56" s="15"/>
      <c r="N56" s="15"/>
      <c r="O56" s="16" t="s">
        <v>47</v>
      </c>
      <c r="P56" s="16"/>
      <c r="Q56" s="16"/>
      <c r="R56" s="16"/>
    </row>
    <row r="57" spans="1:18">
      <c r="A57" s="3" t="s">
        <v>2</v>
      </c>
      <c r="B57" s="3" t="s">
        <v>3</v>
      </c>
      <c r="C57" s="3" t="s">
        <v>45</v>
      </c>
      <c r="D57" s="3" t="s">
        <v>46</v>
      </c>
      <c r="E57" s="3" t="s">
        <v>2</v>
      </c>
      <c r="F57" s="3" t="s">
        <v>3</v>
      </c>
      <c r="G57" s="3" t="s">
        <v>45</v>
      </c>
      <c r="H57" s="3" t="s">
        <v>46</v>
      </c>
      <c r="K57" s="3" t="s">
        <v>2</v>
      </c>
      <c r="L57" s="3" t="s">
        <v>3</v>
      </c>
      <c r="M57" s="3" t="s">
        <v>45</v>
      </c>
      <c r="N57" s="3" t="s">
        <v>46</v>
      </c>
      <c r="O57" s="3" t="s">
        <v>2</v>
      </c>
      <c r="P57" s="3" t="s">
        <v>3</v>
      </c>
      <c r="Q57" s="3" t="s">
        <v>45</v>
      </c>
      <c r="R57" s="3" t="s">
        <v>46</v>
      </c>
    </row>
    <row r="58" spans="1:18">
      <c r="A58" s="7">
        <v>45688</v>
      </c>
      <c r="B58" s="4" t="s">
        <v>57</v>
      </c>
      <c r="C58" s="4"/>
      <c r="D58" s="9">
        <v>5000</v>
      </c>
      <c r="E58" s="7">
        <f>Journals!A46</f>
        <v>45679</v>
      </c>
      <c r="F58" s="4" t="s">
        <v>77</v>
      </c>
      <c r="G58" s="4"/>
      <c r="H58" s="9">
        <f>Journals!D46</f>
        <v>5000</v>
      </c>
      <c r="K58" s="7">
        <f>Journals!A54</f>
        <v>45684</v>
      </c>
      <c r="L58" s="4" t="str">
        <f>Journals!B55</f>
        <v xml:space="preserve">  To Sundry Debtor's a/c</v>
      </c>
      <c r="M58" s="4"/>
      <c r="N58" s="9">
        <f>Journals!D54</f>
        <v>400</v>
      </c>
      <c r="O58" s="7">
        <v>45688</v>
      </c>
      <c r="P58" s="4" t="s">
        <v>48</v>
      </c>
      <c r="Q58" s="4"/>
      <c r="R58" s="9">
        <v>400</v>
      </c>
    </row>
    <row r="59" spans="1:18">
      <c r="A59" s="4"/>
      <c r="B59" s="4"/>
      <c r="C59" s="4"/>
      <c r="D59" s="9">
        <f>SUM(D58)</f>
        <v>5000</v>
      </c>
      <c r="E59" s="4"/>
      <c r="F59" s="4"/>
      <c r="G59" s="4"/>
      <c r="H59" s="9">
        <f>SUM(H58)</f>
        <v>5000</v>
      </c>
      <c r="K59" s="4"/>
      <c r="L59" s="4"/>
      <c r="M59" s="4"/>
      <c r="N59" s="9">
        <f>SUM(N58)</f>
        <v>400</v>
      </c>
      <c r="O59" s="4"/>
      <c r="P59" s="4"/>
      <c r="Q59" s="4"/>
      <c r="R59" s="9">
        <f>SUM(R58)</f>
        <v>400</v>
      </c>
    </row>
    <row r="60" spans="1:18">
      <c r="A60" s="7"/>
      <c r="B60" s="4"/>
      <c r="C60" s="4"/>
      <c r="D60" s="9"/>
      <c r="E60" s="7">
        <v>45689</v>
      </c>
      <c r="F60" s="4" t="s">
        <v>56</v>
      </c>
      <c r="G60" s="4"/>
      <c r="H60" s="9">
        <v>5000</v>
      </c>
      <c r="K60" s="7">
        <v>45689</v>
      </c>
      <c r="L60" s="4" t="s">
        <v>49</v>
      </c>
      <c r="M60" s="4"/>
      <c r="N60" s="9">
        <v>400</v>
      </c>
      <c r="O60" s="7"/>
      <c r="P60" s="4"/>
      <c r="Q60" s="4"/>
      <c r="R60" s="9"/>
    </row>
  </sheetData>
  <mergeCells count="42">
    <mergeCell ref="A1:H1"/>
    <mergeCell ref="A2:D2"/>
    <mergeCell ref="E2:H2"/>
    <mergeCell ref="A14:H14"/>
    <mergeCell ref="A15:D15"/>
    <mergeCell ref="E15:H15"/>
    <mergeCell ref="A22:H22"/>
    <mergeCell ref="A23:D23"/>
    <mergeCell ref="E23:H23"/>
    <mergeCell ref="A30:H30"/>
    <mergeCell ref="A31:D31"/>
    <mergeCell ref="E31:H31"/>
    <mergeCell ref="K1:R1"/>
    <mergeCell ref="K2:N2"/>
    <mergeCell ref="O2:R2"/>
    <mergeCell ref="K14:R14"/>
    <mergeCell ref="K15:N15"/>
    <mergeCell ref="O15:R15"/>
    <mergeCell ref="K22:R22"/>
    <mergeCell ref="K23:N23"/>
    <mergeCell ref="O23:R23"/>
    <mergeCell ref="K30:R30"/>
    <mergeCell ref="K31:N31"/>
    <mergeCell ref="O31:R31"/>
    <mergeCell ref="K39:R39"/>
    <mergeCell ref="K40:N40"/>
    <mergeCell ref="O40:R40"/>
    <mergeCell ref="A47:H47"/>
    <mergeCell ref="A48:D48"/>
    <mergeCell ref="E48:H48"/>
    <mergeCell ref="K47:R47"/>
    <mergeCell ref="K48:N48"/>
    <mergeCell ref="O48:R48"/>
    <mergeCell ref="A39:H39"/>
    <mergeCell ref="A40:D40"/>
    <mergeCell ref="E40:H40"/>
    <mergeCell ref="A55:H55"/>
    <mergeCell ref="A56:D56"/>
    <mergeCell ref="E56:H56"/>
    <mergeCell ref="K55:R55"/>
    <mergeCell ref="K56:N56"/>
    <mergeCell ref="O56:R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Journals</vt:lpstr>
      <vt:lpstr>Ledgers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2025-05-06T15:00:11Z</dcterms:created>
  <dcterms:modified xsi:type="dcterms:W3CDTF">2025-05-07T01:35:39Z</dcterms:modified>
</cp:coreProperties>
</file>